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<sst xmlns="http://schemas.openxmlformats.org/spreadsheetml/2006/main" count="31" uniqueCount="27">
  <si>
    <t xml:space="preserve">PRODUCT</t>
  </si>
  <si>
    <t xml:space="preserve">RS / KG</t>
  </si>
  <si>
    <t xml:space="preserve">GSM</t>
  </si>
  <si>
    <t xml:space="preserve">WASTAGE %</t>
  </si>
  <si>
    <t xml:space="preserve">WASTAGE</t>
  </si>
  <si>
    <t xml:space="preserve">SQ.MTR / KG</t>
  </si>
  <si>
    <t xml:space="preserve">RS / SQ.MTR</t>
  </si>
  <si>
    <t xml:space="preserve"> </t>
  </si>
  <si>
    <t xml:space="preserve">COATING FORMULA</t>
  </si>
  <si>
    <t xml:space="preserve">FACE</t>
  </si>
  <si>
    <t xml:space="preserve">DRY</t>
  </si>
  <si>
    <t xml:space="preserve">  XX / 60 * 100 = ADH. COATING</t>
  </si>
  <si>
    <t xml:space="preserve">ADHESIVE</t>
  </si>
  <si>
    <t xml:space="preserve">RELEASE</t>
  </si>
  <si>
    <t xml:space="preserve">WET</t>
  </si>
  <si>
    <t xml:space="preserve">EXPENSES</t>
  </si>
  <si>
    <t xml:space="preserve">TAPE CALCULATOR</t>
  </si>
  <si>
    <t xml:space="preserve">DELIVERY</t>
  </si>
  <si>
    <t xml:space="preserve">SIZE</t>
  </si>
  <si>
    <t xml:space="preserve">MARGIN %</t>
  </si>
  <si>
    <t xml:space="preserve">SALE RATE</t>
  </si>
  <si>
    <t xml:space="preserve">TOTAL</t>
  </si>
  <si>
    <t xml:space="preserve">COSTING</t>
  </si>
  <si>
    <t xml:space="preserve">RATE</t>
  </si>
  <si>
    <t xml:space="preserve">SQ. INCH.</t>
  </si>
  <si>
    <t xml:space="preserve">MARGIN</t>
  </si>
  <si>
    <t xml:space="preserve">R. MTR RATE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</si>
</sst>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_-* #,##0.000_-;\-* #,##0.000_-;_-* \-??_-;_-@_-"/>
    <numFmt numFmtId="167" formatCode="0.00"/>
    <numFmt numFmtId="168" formatCode="0"/>
    <numFmt numFmtId="169" formatCode="0.0"/>
    <numFmt numFmtId="170" formatCode="0.000"/>
    <numFmt numFmtId="171" formatCode="0.0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C00000"/>
      <name val="Calibri"/>
      <family val="2"/>
    </font>
    <font>
      <b val="true"/>
      <sz val="10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16" activeCellId="0" sqref="E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1.73"/>
    <col collapsed="false" customWidth="true" hidden="false" outlineLevel="0" max="3" min="3" style="1" width="8.11"/>
    <col collapsed="false" customWidth="true" hidden="false" outlineLevel="0" max="4" min="4" style="1" width="18.82"/>
    <col collapsed="false" customWidth="true" hidden="false" outlineLevel="0" max="5" min="5" style="1" width="15.76"/>
    <col collapsed="false" customWidth="true" hidden="false" outlineLevel="0" max="6" min="6" style="1" width="19.38"/>
    <col collapsed="false" customWidth="true" hidden="false" outlineLevel="0" max="7" min="7" style="1" width="18.96"/>
    <col collapsed="false" customWidth="true" hidden="false" outlineLevel="0" max="8" min="8" style="1" width="12.15"/>
    <col collapsed="false" customWidth="true" hidden="false" outlineLevel="0" max="9" min="9" style="1" width="19.66"/>
    <col collapsed="false" customWidth="true" hidden="false" outlineLevel="0" max="10" min="10" style="1" width="10.48"/>
    <col collapsed="false" customWidth="true" hidden="false" outlineLevel="0" max="11" min="11" style="1" width="7.27"/>
    <col collapsed="false" customWidth="true" hidden="false" outlineLevel="0" max="12" min="12" style="1" width="15.06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 t="s">
        <v>7</v>
      </c>
      <c r="J1" s="4"/>
      <c r="K1" s="2" t="s">
        <v>8</v>
      </c>
      <c r="L1" s="2"/>
    </row>
    <row r="2" customFormat="false" ht="12.8" hidden="false" customHeight="false" outlineLevel="0" collapsed="false">
      <c r="A2" s="5" t="s">
        <v>9</v>
      </c>
      <c r="B2" s="6" t="n">
        <v>78</v>
      </c>
      <c r="C2" s="7" t="n">
        <v>100</v>
      </c>
      <c r="D2" s="8" t="n">
        <v>3</v>
      </c>
      <c r="E2" s="9" t="n">
        <f aca="false">+B2/100*D2</f>
        <v>2.34</v>
      </c>
      <c r="F2" s="10" t="n">
        <f aca="false">1000/C2</f>
        <v>10</v>
      </c>
      <c r="G2" s="11" t="n">
        <f aca="false">C2*(B2+E2)/1000</f>
        <v>8.034</v>
      </c>
      <c r="H2" s="12" t="s">
        <v>10</v>
      </c>
      <c r="I2" s="13"/>
      <c r="J2" s="13"/>
      <c r="K2" s="2" t="s">
        <v>11</v>
      </c>
      <c r="L2" s="2"/>
    </row>
    <row r="3" customFormat="false" ht="12.8" hidden="false" customHeight="false" outlineLevel="0" collapsed="false">
      <c r="A3" s="14" t="s">
        <v>12</v>
      </c>
      <c r="B3" s="15" t="n">
        <v>120</v>
      </c>
      <c r="C3" s="16" t="n">
        <v>45</v>
      </c>
      <c r="D3" s="17" t="n">
        <v>3</v>
      </c>
      <c r="E3" s="18" t="n">
        <f aca="false">+B3/100*D3</f>
        <v>3.6</v>
      </c>
      <c r="F3" s="19" t="n">
        <f aca="false">1000/C3</f>
        <v>22.2222222222222</v>
      </c>
      <c r="G3" s="20" t="n">
        <f aca="false">C3*(B3+E3)/1000</f>
        <v>5.562</v>
      </c>
      <c r="H3" s="21" t="n">
        <f aca="false">+C3/1.6</f>
        <v>28.125</v>
      </c>
      <c r="I3" s="13"/>
      <c r="J3" s="13"/>
      <c r="K3" s="22" t="n">
        <v>22</v>
      </c>
      <c r="L3" s="21" t="n">
        <f aca="false">+K3/60*100</f>
        <v>36.6666666666667</v>
      </c>
    </row>
    <row r="4" customFormat="false" ht="12.8" hidden="false" customHeight="false" outlineLevel="0" collapsed="false">
      <c r="A4" s="23" t="s">
        <v>13</v>
      </c>
      <c r="B4" s="24" t="n">
        <v>130</v>
      </c>
      <c r="C4" s="25" t="n">
        <v>67</v>
      </c>
      <c r="D4" s="26" t="n">
        <v>3</v>
      </c>
      <c r="E4" s="27" t="n">
        <f aca="false">+B4/100*D4</f>
        <v>3.9</v>
      </c>
      <c r="F4" s="28" t="n">
        <f aca="false">1000/C4</f>
        <v>14.9253731343284</v>
      </c>
      <c r="G4" s="20" t="n">
        <f aca="false">C4*(B4+E4)/1000</f>
        <v>8.9713</v>
      </c>
      <c r="H4" s="3"/>
      <c r="I4" s="13"/>
      <c r="J4" s="13"/>
      <c r="K4" s="2" t="s">
        <v>10</v>
      </c>
      <c r="L4" s="2" t="s">
        <v>14</v>
      </c>
    </row>
    <row r="5" customFormat="false" ht="12.8" hidden="false" customHeight="false" outlineLevel="0" collapsed="false">
      <c r="A5" s="14" t="s">
        <v>12</v>
      </c>
      <c r="B5" s="24" t="n">
        <v>0</v>
      </c>
      <c r="C5" s="16" t="n">
        <v>1</v>
      </c>
      <c r="D5" s="17"/>
      <c r="E5" s="18" t="n">
        <f aca="false">+B5/100*D5</f>
        <v>0</v>
      </c>
      <c r="F5" s="19" t="n">
        <f aca="false">1000/C5</f>
        <v>1000</v>
      </c>
      <c r="G5" s="20" t="n">
        <f aca="false">C5*(B5+E5)/1000</f>
        <v>0</v>
      </c>
      <c r="H5" s="3"/>
      <c r="I5" s="4"/>
      <c r="J5" s="4"/>
      <c r="K5" s="13"/>
      <c r="L5" s="13"/>
    </row>
    <row r="6" customFormat="false" ht="12.8" hidden="false" customHeight="false" outlineLevel="0" collapsed="false">
      <c r="A6" s="23" t="s">
        <v>13</v>
      </c>
      <c r="B6" s="24" t="n">
        <v>0</v>
      </c>
      <c r="C6" s="25" t="n">
        <v>1</v>
      </c>
      <c r="D6" s="26"/>
      <c r="E6" s="27" t="n">
        <f aca="false">+B6/100*D6</f>
        <v>0</v>
      </c>
      <c r="F6" s="28" t="n">
        <f aca="false">1000/C6</f>
        <v>1000</v>
      </c>
      <c r="G6" s="20" t="n">
        <f aca="false">C6*(B6+E6)/1000</f>
        <v>0</v>
      </c>
      <c r="H6" s="13"/>
      <c r="I6" s="13"/>
      <c r="J6" s="13"/>
      <c r="K6" s="13"/>
      <c r="L6" s="13"/>
    </row>
    <row r="7" customFormat="false" ht="12.8" hidden="false" customHeight="false" outlineLevel="0" collapsed="false">
      <c r="A7" s="14" t="s">
        <v>15</v>
      </c>
      <c r="B7" s="19" t="n">
        <f aca="false">+(G2+G3+G4+G5+G6)</f>
        <v>22.5673</v>
      </c>
      <c r="C7" s="16"/>
      <c r="D7" s="26" t="n">
        <v>15</v>
      </c>
      <c r="E7" s="18" t="n">
        <f aca="false">+B7/100*D7</f>
        <v>3.385095</v>
      </c>
      <c r="F7" s="28"/>
      <c r="G7" s="20" t="n">
        <f aca="false">+E7</f>
        <v>3.385095</v>
      </c>
      <c r="H7" s="29" t="s">
        <v>16</v>
      </c>
      <c r="I7" s="29"/>
      <c r="J7" s="13"/>
      <c r="K7" s="13"/>
      <c r="L7" s="13"/>
    </row>
    <row r="8" customFormat="false" ht="12.8" hidden="false" customHeight="false" outlineLevel="0" collapsed="false">
      <c r="A8" s="23" t="s">
        <v>17</v>
      </c>
      <c r="B8" s="28"/>
      <c r="C8" s="25"/>
      <c r="D8" s="30"/>
      <c r="E8" s="27"/>
      <c r="F8" s="28"/>
      <c r="G8" s="20" t="n">
        <f aca="false">+B8</f>
        <v>0</v>
      </c>
      <c r="H8" s="31" t="n">
        <v>62.5</v>
      </c>
      <c r="I8" s="2" t="s">
        <v>18</v>
      </c>
      <c r="J8" s="13"/>
      <c r="K8" s="13"/>
      <c r="L8" s="13"/>
    </row>
    <row r="9" customFormat="false" ht="12.8" hidden="false" customHeight="false" outlineLevel="0" collapsed="false">
      <c r="A9" s="32" t="s">
        <v>19</v>
      </c>
      <c r="B9" s="33"/>
      <c r="C9" s="34"/>
      <c r="D9" s="35"/>
      <c r="E9" s="36" t="n">
        <f aca="false">SUM(E2:E8)</f>
        <v>13.225095</v>
      </c>
      <c r="F9" s="37"/>
      <c r="G9" s="36" t="n">
        <f aca="false">+((G2+G3+G4+G5+G6+G7+G8)/100)*+B9</f>
        <v>0</v>
      </c>
      <c r="H9" s="31" t="n">
        <v>520</v>
      </c>
      <c r="I9" s="2" t="s">
        <v>20</v>
      </c>
      <c r="J9" s="38" t="n">
        <f aca="false">+H9/(H8*300/1000)</f>
        <v>27.7333333333333</v>
      </c>
      <c r="K9" s="13"/>
      <c r="L9" s="13"/>
    </row>
    <row r="10" customFormat="false" ht="12.8" hidden="false" customHeight="false" outlineLevel="0" collapsed="false">
      <c r="A10" s="13"/>
      <c r="B10" s="13"/>
      <c r="C10" s="13"/>
      <c r="D10" s="13"/>
      <c r="E10" s="13"/>
      <c r="F10" s="39" t="s">
        <v>21</v>
      </c>
      <c r="G10" s="40" t="n">
        <f aca="false">G2+G3+G4+G5+G6+G7+G8+G9</f>
        <v>25.952395</v>
      </c>
      <c r="H10" s="41" t="n">
        <f aca="false">+(H8*300/1000)*G10</f>
        <v>486.60740625</v>
      </c>
      <c r="I10" s="2" t="s">
        <v>22</v>
      </c>
      <c r="J10" s="4"/>
      <c r="K10" s="13"/>
      <c r="L10" s="13"/>
    </row>
    <row r="11" customFormat="false" ht="12.8" hidden="false" customHeight="false" outlineLevel="0" collapsed="false">
      <c r="A11" s="39" t="s">
        <v>23</v>
      </c>
      <c r="B11" s="42" t="n">
        <v>60</v>
      </c>
      <c r="C11" s="13"/>
      <c r="D11" s="13"/>
      <c r="E11" s="13"/>
      <c r="F11" s="43" t="s">
        <v>24</v>
      </c>
      <c r="G11" s="44" t="n">
        <f aca="false">+G10/1550</f>
        <v>0.0167434806451613</v>
      </c>
      <c r="H11" s="41" t="n">
        <f aca="false">+H9-H10</f>
        <v>33.3925937499999</v>
      </c>
      <c r="I11" s="2" t="s">
        <v>25</v>
      </c>
      <c r="J11" s="4"/>
      <c r="K11" s="13"/>
      <c r="L11" s="13"/>
    </row>
    <row r="12" customFormat="false" ht="12.8" hidden="false" customHeight="false" outlineLevel="0" collapsed="false">
      <c r="A12" s="39" t="s">
        <v>24</v>
      </c>
      <c r="B12" s="42" t="n">
        <f aca="false">+(B11/1550)*1.5</f>
        <v>0.0580645161290323</v>
      </c>
      <c r="C12" s="13"/>
      <c r="D12" s="13"/>
      <c r="E12" s="13"/>
      <c r="F12" s="13"/>
      <c r="G12" s="13"/>
      <c r="H12" s="45" t="n">
        <f aca="false">+H9/300</f>
        <v>1.73333333333333</v>
      </c>
      <c r="I12" s="2" t="s">
        <v>26</v>
      </c>
      <c r="J12" s="4"/>
      <c r="K12" s="13"/>
      <c r="L12" s="13"/>
    </row>
    <row r="13" customFormat="false" ht="12.8" hidden="false" customHeight="false" outlineLevel="0" collapsed="false">
      <c r="A13" s="13"/>
      <c r="B13" s="13"/>
      <c r="C13" s="13"/>
      <c r="D13" s="13"/>
      <c r="E13" s="13"/>
      <c r="F13" s="13"/>
      <c r="G13" s="46" t="n">
        <f aca="false">+G10-G7</f>
        <v>22.5673</v>
      </c>
      <c r="H13" s="13"/>
      <c r="I13" s="4"/>
      <c r="J13" s="4"/>
      <c r="K13" s="13"/>
      <c r="L13" s="13"/>
    </row>
  </sheetData>
  <mergeCells count="3">
    <mergeCell ref="K1:L1"/>
    <mergeCell ref="K2:L2"/>
    <mergeCell ref="H7:I7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2026-09-11T14:50:33Z</dcterms:created>
  <dc:creator/>
  <dc:description/>
  <dc:language>en-US</dc:language>
  <cp:lastModifiedBy/>
  <dcterms:modified xsi:type="dcterms:W3CDTF">2026-09-11T14:51:29Z</dcterms:modified>
  <cp:revision>1</cp:revision>
  <dc:subject/>
  <dc:title/>
</cp:coreProperties>
</file>